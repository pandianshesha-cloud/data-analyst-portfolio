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Sales Analysis" sheetId="1" r:id="rId1"/>
    <sheet name="Region Summary" sheetId="2" r:id="rId2"/>
    <sheet name="Key Insights" sheetId="3" r:id="rId3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2"/>
  <c r="D7"/>
  <c r="D6"/>
  <c r="D5"/>
  <c r="D4"/>
  <c r="H14" i="1"/>
  <c r="F14"/>
  <c r="E14"/>
  <c r="D14"/>
  <c r="C14"/>
  <c r="H13"/>
  <c r="G13"/>
  <c r="H12"/>
  <c r="G12"/>
  <c r="H11"/>
  <c r="G11"/>
  <c r="H10"/>
  <c r="G10"/>
  <c r="H9"/>
  <c r="G9"/>
  <c r="H8"/>
  <c r="G8"/>
  <c r="H7"/>
  <c r="G7"/>
  <c r="H6"/>
  <c r="G6"/>
  <c r="H5"/>
  <c r="G5"/>
  <c r="H4"/>
  <c r="G4"/>
  <c r="G14" s="1"/>
</calcChain>
</file>

<file path=xl/sharedStrings.xml><?xml version="1.0" encoding="utf-8"?>
<sst xmlns="http://schemas.openxmlformats.org/spreadsheetml/2006/main" count="58" uniqueCount="46">
  <si>
    <t>🍺 Bar Customers Sales Analysis — Tamil Nadu Districts (2024)</t>
  </si>
  <si>
    <t>District</t>
  </si>
  <si>
    <t>Region</t>
  </si>
  <si>
    <t>Q1 Sales (₹)</t>
  </si>
  <si>
    <t>Q2 Sales (₹)</t>
  </si>
  <si>
    <t>Q3 Sales (₹)</t>
  </si>
  <si>
    <t>Q4 Sales (₹)</t>
  </si>
  <si>
    <t>Annual Total (₹)</t>
  </si>
  <si>
    <t>Growth %</t>
  </si>
  <si>
    <t>Chennai</t>
  </si>
  <si>
    <t>North</t>
  </si>
  <si>
    <t>Coimbatore</t>
  </si>
  <si>
    <t>West</t>
  </si>
  <si>
    <t>Madurai</t>
  </si>
  <si>
    <t>South</t>
  </si>
  <si>
    <t>Salem</t>
  </si>
  <si>
    <t>Central</t>
  </si>
  <si>
    <t>Tiruchirappalli</t>
  </si>
  <si>
    <t>Tirunelveli</t>
  </si>
  <si>
    <t>Vellore</t>
  </si>
  <si>
    <t>Erode</t>
  </si>
  <si>
    <t>Thanjavur</t>
  </si>
  <si>
    <t>East</t>
  </si>
  <si>
    <t>Dindigul</t>
  </si>
  <si>
    <t>TOTAL — Tamil Nadu</t>
  </si>
  <si>
    <t>📊 Region-wise Summary</t>
  </si>
  <si>
    <t>Districts</t>
  </si>
  <si>
    <t>Annual Revenue (₹)</t>
  </si>
  <si>
    <t>Market Share %</t>
  </si>
  <si>
    <t>Chennai, Vellore</t>
  </si>
  <si>
    <t>Coimbatore, Erode</t>
  </si>
  <si>
    <t>Madurai, Tirunelveli, Dindigul</t>
  </si>
  <si>
    <t>Salem, Tiruchirappalli</t>
  </si>
  <si>
    <t>💡 Key Business Insights</t>
  </si>
  <si>
    <t>🏆 Top District</t>
  </si>
  <si>
    <t>Chennai leads with highest annual revenue</t>
  </si>
  <si>
    <t>📈 Fastest Growth</t>
  </si>
  <si>
    <t>All districts show 35-40% YoY growth</t>
  </si>
  <si>
    <t>🌍 North Region</t>
  </si>
  <si>
    <t>Dominates with 27% market share</t>
  </si>
  <si>
    <t>🎯 Opportunity</t>
  </si>
  <si>
    <t>South Tamil Nadu (Tirunelveli, Dindigul) — untapped potential</t>
  </si>
  <si>
    <t>📅 Peak Quarter</t>
  </si>
  <si>
    <t>Q4 (Oct-Dec) is highest sales period across all districts</t>
  </si>
  <si>
    <t>👥 Recommendation</t>
  </si>
  <si>
    <t>Increase distributor presence in Erode &amp; Thanjavur</t>
  </si>
</sst>
</file>

<file path=xl/styles.xml><?xml version="1.0" encoding="utf-8"?>
<styleSheet xmlns="http://schemas.openxmlformats.org/spreadsheetml/2006/main">
  <numFmts count="2">
    <numFmt numFmtId="164" formatCode="\₹#,##0"/>
    <numFmt numFmtId="165" formatCode="0.0%"/>
  </numFmts>
  <fonts count="6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DEEAF1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2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5" fontId="3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165" fontId="3" fillId="5" borderId="1" xfId="0" applyNumberFormat="1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165" fontId="4" fillId="6" borderId="1" xfId="0" applyNumberFormat="1" applyFont="1" applyFill="1" applyBorder="1" applyAlignment="1">
      <alignment vertical="center"/>
    </xf>
    <xf numFmtId="0" fontId="4" fillId="4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Annual Revenue by Region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'Region Summary'!$C$3</c:f>
              <c:strCache>
                <c:ptCount val="1"/>
                <c:pt idx="0">
                  <c:v>Annual 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'Region Summary'!$A$4:$A$8</c:f>
              <c:strCache>
                <c:ptCount val="5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Central</c:v>
                </c:pt>
                <c:pt idx="4">
                  <c:v>East</c:v>
                </c:pt>
              </c:strCache>
            </c:strRef>
          </c:cat>
          <c:val>
            <c:numRef>
              <c:f>'Region Summary'!$C$4:$C$8</c:f>
              <c:numCache>
                <c:formatCode>\₹#,##0</c:formatCode>
                <c:ptCount val="5"/>
                <c:pt idx="0">
                  <c:v>3940000</c:v>
                </c:pt>
                <c:pt idx="1">
                  <c:v>3430000</c:v>
                </c:pt>
                <c:pt idx="2">
                  <c:v>3000000</c:v>
                </c:pt>
                <c:pt idx="3">
                  <c:v>2880000</c:v>
                </c:pt>
                <c:pt idx="4">
                  <c:v>1450000</c:v>
                </c:pt>
              </c:numCache>
            </c:numRef>
          </c:val>
        </c:ser>
        <c:axId val="103422592"/>
        <c:axId val="103441152"/>
      </c:barChart>
      <c:catAx>
        <c:axId val="103422592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441152"/>
        <c:crosses val="autoZero"/>
        <c:auto val="1"/>
        <c:lblAlgn val="ctr"/>
        <c:lblOffset val="100"/>
      </c:catAx>
      <c:valAx>
        <c:axId val="103441152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\₹#,##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4225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24</xdr:row>
      <xdr:rowOff>128520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showGridLines="0" tabSelected="1" workbookViewId="0">
      <selection activeCell="I11" sqref="I11"/>
    </sheetView>
  </sheetViews>
  <sheetFormatPr defaultColWidth="8.7109375" defaultRowHeight="15"/>
  <cols>
    <col min="1" max="1" width="12.28515625" bestFit="1" customWidth="1"/>
    <col min="2" max="2" width="9.140625" bestFit="1" customWidth="1"/>
    <col min="3" max="6" width="14.28515625" bestFit="1" customWidth="1"/>
    <col min="7" max="7" width="18.5703125" bestFit="1" customWidth="1"/>
    <col min="8" max="8" width="12.140625" bestFit="1" customWidth="1"/>
  </cols>
  <sheetData>
    <row r="1" spans="1:8" ht="39.75" customHeight="1">
      <c r="A1" s="3" t="s">
        <v>0</v>
      </c>
      <c r="B1" s="3"/>
      <c r="C1" s="3"/>
      <c r="D1" s="3"/>
      <c r="E1" s="3"/>
      <c r="F1" s="3"/>
      <c r="G1" s="3"/>
      <c r="H1" s="3"/>
    </row>
    <row r="2" spans="1:8" ht="19.5" customHeight="1"/>
    <row r="3" spans="1:8" ht="21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>
      <c r="A4" s="5" t="s">
        <v>9</v>
      </c>
      <c r="B4" s="5" t="s">
        <v>10</v>
      </c>
      <c r="C4" s="6">
        <v>1850000</v>
      </c>
      <c r="D4" s="6">
        <v>2100000</v>
      </c>
      <c r="E4" s="6">
        <v>2350000</v>
      </c>
      <c r="F4" s="6">
        <v>2600000</v>
      </c>
      <c r="G4" s="6">
        <f t="shared" ref="G4:G13" si="0">SUM(C4:F4)</f>
        <v>8900000</v>
      </c>
      <c r="H4" s="7">
        <f t="shared" ref="H4:H14" si="1">(F4-C4)/C4</f>
        <v>0.40540540540540543</v>
      </c>
    </row>
    <row r="5" spans="1:8">
      <c r="A5" s="8" t="s">
        <v>11</v>
      </c>
      <c r="B5" s="8" t="s">
        <v>12</v>
      </c>
      <c r="C5" s="9">
        <v>980000</v>
      </c>
      <c r="D5" s="9">
        <v>1050000</v>
      </c>
      <c r="E5" s="9">
        <v>1180000</v>
      </c>
      <c r="F5" s="9">
        <v>1320000</v>
      </c>
      <c r="G5" s="9">
        <f t="shared" si="0"/>
        <v>4530000</v>
      </c>
      <c r="H5" s="10">
        <f t="shared" si="1"/>
        <v>0.34693877551020408</v>
      </c>
    </row>
    <row r="6" spans="1:8">
      <c r="A6" s="5" t="s">
        <v>13</v>
      </c>
      <c r="B6" s="5" t="s">
        <v>14</v>
      </c>
      <c r="C6" s="6">
        <v>760000</v>
      </c>
      <c r="D6" s="6">
        <v>820000</v>
      </c>
      <c r="E6" s="6">
        <v>910000</v>
      </c>
      <c r="F6" s="6">
        <v>1020000</v>
      </c>
      <c r="G6" s="6">
        <f t="shared" si="0"/>
        <v>3510000</v>
      </c>
      <c r="H6" s="7">
        <f t="shared" si="1"/>
        <v>0.34210526315789475</v>
      </c>
    </row>
    <row r="7" spans="1:8">
      <c r="A7" s="8" t="s">
        <v>15</v>
      </c>
      <c r="B7" s="8" t="s">
        <v>16</v>
      </c>
      <c r="C7" s="9">
        <v>540000</v>
      </c>
      <c r="D7" s="9">
        <v>590000</v>
      </c>
      <c r="E7" s="9">
        <v>650000</v>
      </c>
      <c r="F7" s="9">
        <v>720000</v>
      </c>
      <c r="G7" s="9">
        <f t="shared" si="0"/>
        <v>2500000</v>
      </c>
      <c r="H7" s="10">
        <f t="shared" si="1"/>
        <v>0.33333333333333331</v>
      </c>
    </row>
    <row r="8" spans="1:8">
      <c r="A8" s="5" t="s">
        <v>17</v>
      </c>
      <c r="B8" s="5" t="s">
        <v>16</v>
      </c>
      <c r="C8" s="6">
        <v>620000</v>
      </c>
      <c r="D8" s="6">
        <v>680000</v>
      </c>
      <c r="E8" s="6">
        <v>750000</v>
      </c>
      <c r="F8" s="6">
        <v>840000</v>
      </c>
      <c r="G8" s="6">
        <f t="shared" si="0"/>
        <v>2890000</v>
      </c>
      <c r="H8" s="7">
        <f t="shared" si="1"/>
        <v>0.35483870967741937</v>
      </c>
    </row>
    <row r="9" spans="1:8">
      <c r="A9" s="8" t="s">
        <v>18</v>
      </c>
      <c r="B9" s="8" t="s">
        <v>14</v>
      </c>
      <c r="C9" s="9">
        <v>410000</v>
      </c>
      <c r="D9" s="9">
        <v>450000</v>
      </c>
      <c r="E9" s="9">
        <v>490000</v>
      </c>
      <c r="F9" s="9">
        <v>550000</v>
      </c>
      <c r="G9" s="9">
        <f t="shared" si="0"/>
        <v>1900000</v>
      </c>
      <c r="H9" s="10">
        <f t="shared" si="1"/>
        <v>0.34146341463414637</v>
      </c>
    </row>
    <row r="10" spans="1:8">
      <c r="A10" s="5" t="s">
        <v>19</v>
      </c>
      <c r="B10" s="5" t="s">
        <v>10</v>
      </c>
      <c r="C10" s="6">
        <v>380000</v>
      </c>
      <c r="D10" s="6">
        <v>420000</v>
      </c>
      <c r="E10" s="6">
        <v>460000</v>
      </c>
      <c r="F10" s="6">
        <v>510000</v>
      </c>
      <c r="G10" s="6">
        <f t="shared" si="0"/>
        <v>1770000</v>
      </c>
      <c r="H10" s="7">
        <f t="shared" si="1"/>
        <v>0.34210526315789475</v>
      </c>
    </row>
    <row r="11" spans="1:8">
      <c r="A11" s="8" t="s">
        <v>20</v>
      </c>
      <c r="B11" s="8" t="s">
        <v>12</v>
      </c>
      <c r="C11" s="9">
        <v>350000</v>
      </c>
      <c r="D11" s="9">
        <v>390000</v>
      </c>
      <c r="E11" s="9">
        <v>430000</v>
      </c>
      <c r="F11" s="9">
        <v>480000</v>
      </c>
      <c r="G11" s="9">
        <f t="shared" si="0"/>
        <v>1650000</v>
      </c>
      <c r="H11" s="10">
        <f t="shared" si="1"/>
        <v>0.37142857142857144</v>
      </c>
    </row>
    <row r="12" spans="1:8">
      <c r="A12" s="5" t="s">
        <v>21</v>
      </c>
      <c r="B12" s="5" t="s">
        <v>22</v>
      </c>
      <c r="C12" s="6">
        <v>310000</v>
      </c>
      <c r="D12" s="6">
        <v>340000</v>
      </c>
      <c r="E12" s="6">
        <v>380000</v>
      </c>
      <c r="F12" s="6">
        <v>420000</v>
      </c>
      <c r="G12" s="6">
        <f t="shared" si="0"/>
        <v>1450000</v>
      </c>
      <c r="H12" s="7">
        <f t="shared" si="1"/>
        <v>0.35483870967741937</v>
      </c>
    </row>
    <row r="13" spans="1:8">
      <c r="A13" s="8" t="s">
        <v>23</v>
      </c>
      <c r="B13" s="8" t="s">
        <v>14</v>
      </c>
      <c r="C13" s="9">
        <v>290000</v>
      </c>
      <c r="D13" s="9">
        <v>320000</v>
      </c>
      <c r="E13" s="9">
        <v>360000</v>
      </c>
      <c r="F13" s="9">
        <v>400000</v>
      </c>
      <c r="G13" s="9">
        <f t="shared" si="0"/>
        <v>1370000</v>
      </c>
      <c r="H13" s="10">
        <f t="shared" si="1"/>
        <v>0.37931034482758619</v>
      </c>
    </row>
    <row r="14" spans="1:8" ht="19.5" customHeight="1">
      <c r="A14" s="2" t="s">
        <v>24</v>
      </c>
      <c r="B14" s="2"/>
      <c r="C14" s="11">
        <f>SUM(C4:C13)</f>
        <v>6490000</v>
      </c>
      <c r="D14" s="11">
        <f>SUM(D4:D13)</f>
        <v>7160000</v>
      </c>
      <c r="E14" s="11">
        <f>SUM(E4:E13)</f>
        <v>7960000</v>
      </c>
      <c r="F14" s="11">
        <f>SUM(F4:F13)</f>
        <v>8860000</v>
      </c>
      <c r="G14" s="11">
        <f>SUM(G4:G13)</f>
        <v>30470000</v>
      </c>
      <c r="H14" s="12">
        <f t="shared" si="1"/>
        <v>0.36517719568567025</v>
      </c>
    </row>
  </sheetData>
  <mergeCells count="2">
    <mergeCell ref="A1:H1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selection sqref="A1:D1"/>
    </sheetView>
  </sheetViews>
  <sheetFormatPr defaultColWidth="8.7109375" defaultRowHeight="15"/>
  <cols>
    <col min="1" max="1" width="12" customWidth="1"/>
    <col min="2" max="2" width="28" customWidth="1"/>
    <col min="3" max="3" width="18" customWidth="1"/>
    <col min="4" max="4" width="14" customWidth="1"/>
  </cols>
  <sheetData>
    <row r="1" spans="1:4" ht="34.5" customHeight="1">
      <c r="A1" s="1" t="s">
        <v>25</v>
      </c>
      <c r="B1" s="1"/>
      <c r="C1" s="1"/>
      <c r="D1" s="1"/>
    </row>
    <row r="3" spans="1:4" ht="15.75">
      <c r="A3" s="4" t="s">
        <v>2</v>
      </c>
      <c r="B3" s="4" t="s">
        <v>26</v>
      </c>
      <c r="C3" s="4" t="s">
        <v>27</v>
      </c>
      <c r="D3" s="4" t="s">
        <v>28</v>
      </c>
    </row>
    <row r="4" spans="1:4">
      <c r="A4" s="5" t="s">
        <v>10</v>
      </c>
      <c r="B4" s="5" t="s">
        <v>29</v>
      </c>
      <c r="C4" s="6">
        <v>3940000</v>
      </c>
      <c r="D4" s="7">
        <f>C4/14700000</f>
        <v>0.26802721088435372</v>
      </c>
    </row>
    <row r="5" spans="1:4">
      <c r="A5" s="8" t="s">
        <v>12</v>
      </c>
      <c r="B5" s="8" t="s">
        <v>30</v>
      </c>
      <c r="C5" s="9">
        <v>3430000</v>
      </c>
      <c r="D5" s="10">
        <f>C5/14700000</f>
        <v>0.23333333333333334</v>
      </c>
    </row>
    <row r="6" spans="1:4">
      <c r="A6" s="5" t="s">
        <v>14</v>
      </c>
      <c r="B6" s="5" t="s">
        <v>31</v>
      </c>
      <c r="C6" s="6">
        <v>3000000</v>
      </c>
      <c r="D6" s="7">
        <f>C6/14700000</f>
        <v>0.20408163265306123</v>
      </c>
    </row>
    <row r="7" spans="1:4">
      <c r="A7" s="8" t="s">
        <v>16</v>
      </c>
      <c r="B7" s="8" t="s">
        <v>32</v>
      </c>
      <c r="C7" s="9">
        <v>2880000</v>
      </c>
      <c r="D7" s="10">
        <f>C7/14700000</f>
        <v>0.19591836734693877</v>
      </c>
    </row>
    <row r="8" spans="1:4">
      <c r="A8" s="5" t="s">
        <v>22</v>
      </c>
      <c r="B8" s="5" t="s">
        <v>21</v>
      </c>
      <c r="C8" s="6">
        <v>1450000</v>
      </c>
      <c r="D8" s="7">
        <f>C8/14700000</f>
        <v>9.8639455782312924E-2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selection activeCell="B4" sqref="B4"/>
    </sheetView>
  </sheetViews>
  <sheetFormatPr defaultColWidth="8.7109375" defaultRowHeight="15"/>
  <cols>
    <col min="1" max="1" width="19.28515625" bestFit="1" customWidth="1"/>
    <col min="2" max="2" width="52.7109375" bestFit="1" customWidth="1"/>
  </cols>
  <sheetData>
    <row r="1" spans="1:3" ht="34.5" customHeight="1">
      <c r="A1" s="1" t="s">
        <v>33</v>
      </c>
      <c r="B1" s="1"/>
      <c r="C1" s="1"/>
    </row>
    <row r="3" spans="1:3" ht="21.75" customHeight="1">
      <c r="A3" s="13" t="s">
        <v>34</v>
      </c>
      <c r="B3" s="14" t="s">
        <v>35</v>
      </c>
    </row>
    <row r="4" spans="1:3" ht="21.75" customHeight="1">
      <c r="A4" s="15" t="s">
        <v>36</v>
      </c>
      <c r="B4" s="16" t="s">
        <v>37</v>
      </c>
    </row>
    <row r="5" spans="1:3" ht="21.75" customHeight="1">
      <c r="A5" s="13" t="s">
        <v>38</v>
      </c>
      <c r="B5" s="14" t="s">
        <v>39</v>
      </c>
    </row>
    <row r="6" spans="1:3" ht="21.75" customHeight="1">
      <c r="A6" s="15" t="s">
        <v>40</v>
      </c>
      <c r="B6" s="16" t="s">
        <v>41</v>
      </c>
    </row>
    <row r="7" spans="1:3" ht="21.75" customHeight="1">
      <c r="A7" s="13" t="s">
        <v>42</v>
      </c>
      <c r="B7" s="14" t="s">
        <v>43</v>
      </c>
    </row>
    <row r="8" spans="1:3" ht="21.75" customHeight="1">
      <c r="A8" s="15" t="s">
        <v>44</v>
      </c>
      <c r="B8" s="16" t="s">
        <v>45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Analysis</vt:lpstr>
      <vt:lpstr>Region Summary</vt:lpstr>
      <vt:lpstr>Key Insights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2026-03-18T11:17:56Z</dcterms:created>
  <dcterms:modified xsi:type="dcterms:W3CDTF">2026-03-18T11:23:40Z</dcterms:modified>
  <dc:language>en-US</dc:language>
</cp:coreProperties>
</file>