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 activeTab="1"/>
  </bookViews>
  <sheets>
    <sheet name="Performance Report" sheetId="1" r:id="rId1"/>
    <sheet name="Dept Summary" sheetId="2" r:id="rId2"/>
    <sheet name="Star Performers" sheetId="3" r:id="rId3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9" i="1"/>
  <c r="H19"/>
  <c r="E19"/>
  <c r="K18"/>
  <c r="H18"/>
  <c r="K17"/>
  <c r="H17"/>
  <c r="K16"/>
  <c r="H16"/>
  <c r="K15"/>
  <c r="H15"/>
  <c r="K14"/>
  <c r="H14"/>
  <c r="K13"/>
  <c r="H13"/>
  <c r="K12"/>
  <c r="H12"/>
  <c r="K11"/>
  <c r="H11"/>
  <c r="K10"/>
  <c r="H10"/>
  <c r="K9"/>
  <c r="H9"/>
  <c r="K8"/>
  <c r="H8"/>
  <c r="K7"/>
  <c r="H7"/>
  <c r="K6"/>
  <c r="H6"/>
  <c r="K5"/>
  <c r="H5"/>
  <c r="K4"/>
  <c r="H4"/>
</calcChain>
</file>

<file path=xl/sharedStrings.xml><?xml version="1.0" encoding="utf-8"?>
<sst xmlns="http://schemas.openxmlformats.org/spreadsheetml/2006/main" count="117" uniqueCount="68">
  <si>
    <t>👷 Sai Sangeeth — Staff Performance Report | Q4 2023 | Manager: Sheshan Pandiyan</t>
  </si>
  <si>
    <t>Emp ID</t>
  </si>
  <si>
    <t>Name</t>
  </si>
  <si>
    <t>Role</t>
  </si>
  <si>
    <t>Department</t>
  </si>
  <si>
    <t>Attendance %</t>
  </si>
  <si>
    <t>Tasks Done</t>
  </si>
  <si>
    <t>Targets Given</t>
  </si>
  <si>
    <t>Achievement %</t>
  </si>
  <si>
    <t>Customer Rating</t>
  </si>
  <si>
    <t>Punctuality</t>
  </si>
  <si>
    <t>Grade</t>
  </si>
  <si>
    <t>EMP001</t>
  </si>
  <si>
    <t>Arjun Kumar</t>
  </si>
  <si>
    <t>Captain</t>
  </si>
  <si>
    <t>Floor</t>
  </si>
  <si>
    <t>High</t>
  </si>
  <si>
    <t>EMP002</t>
  </si>
  <si>
    <t>Priya Devi</t>
  </si>
  <si>
    <t>Waitress</t>
  </si>
  <si>
    <t>EMP003</t>
  </si>
  <si>
    <t>Ramesh S</t>
  </si>
  <si>
    <t>Waiter</t>
  </si>
  <si>
    <t>Medium</t>
  </si>
  <si>
    <t>EMP004</t>
  </si>
  <si>
    <t>Kavitha M</t>
  </si>
  <si>
    <t>Cashier</t>
  </si>
  <si>
    <t>Billing</t>
  </si>
  <si>
    <t>EMP005</t>
  </si>
  <si>
    <t>Suresh P</t>
  </si>
  <si>
    <t>Kitchen Staff</t>
  </si>
  <si>
    <t>Kitchen</t>
  </si>
  <si>
    <t>EMP006</t>
  </si>
  <si>
    <t>Meena R</t>
  </si>
  <si>
    <t>Low</t>
  </si>
  <si>
    <t>EMP007</t>
  </si>
  <si>
    <t>Balu T</t>
  </si>
  <si>
    <t>EMP008</t>
  </si>
  <si>
    <t>Anitha K</t>
  </si>
  <si>
    <t>Hostess</t>
  </si>
  <si>
    <t>EMP009</t>
  </si>
  <si>
    <t>Vijay N</t>
  </si>
  <si>
    <t>EMP010</t>
  </si>
  <si>
    <t>Rathi S</t>
  </si>
  <si>
    <t>Helper</t>
  </si>
  <si>
    <t>EMP011</t>
  </si>
  <si>
    <t>Mani P</t>
  </si>
  <si>
    <t>EMP012</t>
  </si>
  <si>
    <t>Selvi A</t>
  </si>
  <si>
    <t>EMP013</t>
  </si>
  <si>
    <t>Gopi R</t>
  </si>
  <si>
    <t>Cleaner</t>
  </si>
  <si>
    <t>Housekeeping</t>
  </si>
  <si>
    <t>EMP014</t>
  </si>
  <si>
    <t>Thamizh D</t>
  </si>
  <si>
    <t>EMP015</t>
  </si>
  <si>
    <t>Pooja M</t>
  </si>
  <si>
    <t>TEAM AVERAGE</t>
  </si>
  <si>
    <t>🏢 Department-wise Performance Summary</t>
  </si>
  <si>
    <t>Staff Count</t>
  </si>
  <si>
    <t>Avg Attendance</t>
  </si>
  <si>
    <t>Avg Achievement</t>
  </si>
  <si>
    <t>Avg Rating</t>
  </si>
  <si>
    <t>⭐ Star Performers — Q4 2023</t>
  </si>
  <si>
    <t>Achievement</t>
  </si>
  <si>
    <t>100%</t>
  </si>
  <si>
    <t>98%</t>
  </si>
  <si>
    <t>97%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</si>
</sst>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A3C5E"/>
        <bgColor rgb="FF333333"/>
      </patternFill>
    </fill>
    <fill>
      <patternFill patternType="solid">
        <fgColor rgb="FF2B5797"/>
        <bgColor rgb="FF1A3C5E"/>
      </patternFill>
    </fill>
    <fill>
      <patternFill patternType="solid">
        <fgColor rgb="FFE8F1FB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FF2CC"/>
        <bgColor rgb="FFFFFDE7"/>
      </patternFill>
    </fill>
    <fill>
      <patternFill patternType="solid">
        <fgColor rgb="FFFFFDE7"/>
        <bgColor rgb="FFF9F9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2" borderId="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9" fontId="3" fillId="4" borderId="1" xfId="0" applyNumberFormat="1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9" fontId="3" fillId="5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9" fontId="4" fillId="6" borderId="1" xfId="0" applyNumberFormat="1" applyFont="1" applyFill="1" applyBorder="1" applyAlignment="1">
      <alignment vertical="center"/>
    </xf>
    <xf numFmtId="164" fontId="4" fillId="6" borderId="1" xfId="0" applyNumberFormat="1" applyFont="1" applyFill="1" applyBorder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DE7"/>
      <rgbColor rgb="FFE8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A3C5E"/>
      <rgbColor rgb="FF339966"/>
      <rgbColor rgb="FF003300"/>
      <rgbColor rgb="FF333300"/>
      <rgbColor rgb="FF993300"/>
      <rgbColor rgb="FF993366"/>
      <rgbColor rgb="FF2B57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Achievement % by Department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'Dept Summary'!$D$3</c:f>
              <c:strCache>
                <c:ptCount val="1"/>
                <c:pt idx="0">
                  <c:v>Avg Achievement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cat>
            <c:strRef>
              <c:f>'Dept Summary'!$A$4:$A$7</c:f>
              <c:strCache>
                <c:ptCount val="4"/>
                <c:pt idx="0">
                  <c:v>Floor</c:v>
                </c:pt>
                <c:pt idx="1">
                  <c:v>Kitchen</c:v>
                </c:pt>
                <c:pt idx="2">
                  <c:v>Billing</c:v>
                </c:pt>
                <c:pt idx="3">
                  <c:v>Housekeeping</c:v>
                </c:pt>
              </c:strCache>
            </c:strRef>
          </c:cat>
          <c:val>
            <c:numRef>
              <c:f>'Dept Summary'!$D$4:$D$7</c:f>
              <c:numCache>
                <c:formatCode>0%</c:formatCode>
                <c:ptCount val="4"/>
                <c:pt idx="0">
                  <c:v>0.89</c:v>
                </c:pt>
                <c:pt idx="1">
                  <c:v>0.83</c:v>
                </c:pt>
                <c:pt idx="2">
                  <c:v>0.96</c:v>
                </c:pt>
                <c:pt idx="3">
                  <c:v>1</c:v>
                </c:pt>
              </c:numCache>
            </c:numRef>
          </c:val>
        </c:ser>
        <c:axId val="108374656"/>
        <c:axId val="108392832"/>
      </c:barChart>
      <c:catAx>
        <c:axId val="108374656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8392832"/>
        <c:crosses val="autoZero"/>
        <c:auto val="1"/>
        <c:lblAlgn val="ctr"/>
        <c:lblOffset val="100"/>
      </c:catAx>
      <c:valAx>
        <c:axId val="108392832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83746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lang="en-US"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15</xdr:col>
      <xdr:colOff>255960</xdr:colOff>
      <xdr:row>20</xdr:row>
      <xdr:rowOff>170640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showGridLines="0" workbookViewId="0">
      <selection activeCell="M5" sqref="M5"/>
    </sheetView>
  </sheetViews>
  <sheetFormatPr defaultColWidth="8.7109375" defaultRowHeight="15"/>
  <cols>
    <col min="1" max="1" width="8.140625" bestFit="1" customWidth="1"/>
    <col min="2" max="2" width="11.28515625" bestFit="1" customWidth="1"/>
    <col min="3" max="3" width="11.5703125" bestFit="1" customWidth="1"/>
    <col min="4" max="4" width="12.7109375" bestFit="1" customWidth="1"/>
    <col min="5" max="5" width="12" customWidth="1"/>
    <col min="6" max="6" width="10.5703125" bestFit="1" customWidth="1"/>
    <col min="7" max="7" width="12.140625" bestFit="1" customWidth="1"/>
    <col min="8" max="8" width="13.42578125" bestFit="1" customWidth="1"/>
    <col min="9" max="9" width="14.7109375" bestFit="1" customWidth="1"/>
    <col min="10" max="10" width="10" bestFit="1" customWidth="1"/>
    <col min="11" max="11" width="10.42578125" bestFit="1" customWidth="1"/>
  </cols>
  <sheetData>
    <row r="1" spans="1:11" ht="37.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3" spans="1:11" ht="21.7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 spans="1:11" ht="19.5" customHeight="1">
      <c r="A4" s="5" t="s">
        <v>12</v>
      </c>
      <c r="B4" s="5" t="s">
        <v>13</v>
      </c>
      <c r="C4" s="5" t="s">
        <v>14</v>
      </c>
      <c r="D4" s="5" t="s">
        <v>15</v>
      </c>
      <c r="E4" s="6">
        <v>0.96</v>
      </c>
      <c r="F4" s="5">
        <v>145</v>
      </c>
      <c r="G4" s="5">
        <v>150</v>
      </c>
      <c r="H4" s="6">
        <f t="shared" ref="H4:H18" si="0">F4/G4</f>
        <v>0.96666666666666667</v>
      </c>
      <c r="I4" s="5">
        <v>4.7</v>
      </c>
      <c r="J4" s="5" t="s">
        <v>16</v>
      </c>
      <c r="K4" s="5" t="str">
        <f t="shared" ref="K4:K18" si="1">IF(H4&gt;=0.95,"⭐ Excellent",IF(H4&gt;=0.85,"✅ Good",IF(H4&gt;=0.75,"⚠️ Average","❌ Below")))</f>
        <v>⭐ Excellent</v>
      </c>
    </row>
    <row r="5" spans="1:11" ht="19.5" customHeight="1">
      <c r="A5" s="7" t="s">
        <v>17</v>
      </c>
      <c r="B5" s="7" t="s">
        <v>18</v>
      </c>
      <c r="C5" s="7" t="s">
        <v>19</v>
      </c>
      <c r="D5" s="7" t="s">
        <v>15</v>
      </c>
      <c r="E5" s="8">
        <v>0.92</v>
      </c>
      <c r="F5" s="7">
        <v>130</v>
      </c>
      <c r="G5" s="7">
        <v>140</v>
      </c>
      <c r="H5" s="8">
        <f t="shared" si="0"/>
        <v>0.9285714285714286</v>
      </c>
      <c r="I5" s="7">
        <v>4.5</v>
      </c>
      <c r="J5" s="7" t="s">
        <v>16</v>
      </c>
      <c r="K5" s="7" t="str">
        <f t="shared" si="1"/>
        <v>✅ Good</v>
      </c>
    </row>
    <row r="6" spans="1:11" ht="19.5" customHeight="1">
      <c r="A6" s="5" t="s">
        <v>20</v>
      </c>
      <c r="B6" s="5" t="s">
        <v>21</v>
      </c>
      <c r="C6" s="5" t="s">
        <v>22</v>
      </c>
      <c r="D6" s="5" t="s">
        <v>15</v>
      </c>
      <c r="E6" s="6">
        <v>0.88</v>
      </c>
      <c r="F6" s="5">
        <v>118</v>
      </c>
      <c r="G6" s="5">
        <v>130</v>
      </c>
      <c r="H6" s="6">
        <f t="shared" si="0"/>
        <v>0.90769230769230769</v>
      </c>
      <c r="I6" s="5">
        <v>4.3</v>
      </c>
      <c r="J6" s="5" t="s">
        <v>23</v>
      </c>
      <c r="K6" s="5" t="str">
        <f t="shared" si="1"/>
        <v>✅ Good</v>
      </c>
    </row>
    <row r="7" spans="1:11" ht="19.5" customHeight="1">
      <c r="A7" s="7" t="s">
        <v>24</v>
      </c>
      <c r="B7" s="7" t="s">
        <v>25</v>
      </c>
      <c r="C7" s="7" t="s">
        <v>26</v>
      </c>
      <c r="D7" s="7" t="s">
        <v>27</v>
      </c>
      <c r="E7" s="8">
        <v>0.98</v>
      </c>
      <c r="F7" s="7">
        <v>200</v>
      </c>
      <c r="G7" s="7">
        <v>200</v>
      </c>
      <c r="H7" s="8">
        <f t="shared" si="0"/>
        <v>1</v>
      </c>
      <c r="I7" s="7">
        <v>4.8</v>
      </c>
      <c r="J7" s="7" t="s">
        <v>16</v>
      </c>
      <c r="K7" s="7" t="str">
        <f t="shared" si="1"/>
        <v>⭐ Excellent</v>
      </c>
    </row>
    <row r="8" spans="1:11" ht="19.5" customHeight="1">
      <c r="A8" s="5" t="s">
        <v>28</v>
      </c>
      <c r="B8" s="5" t="s">
        <v>29</v>
      </c>
      <c r="C8" s="5" t="s">
        <v>30</v>
      </c>
      <c r="D8" s="5" t="s">
        <v>31</v>
      </c>
      <c r="E8" s="6">
        <v>0.9</v>
      </c>
      <c r="F8" s="5">
        <v>160</v>
      </c>
      <c r="G8" s="5">
        <v>170</v>
      </c>
      <c r="H8" s="6">
        <f t="shared" si="0"/>
        <v>0.94117647058823528</v>
      </c>
      <c r="I8" s="5">
        <v>4.4000000000000004</v>
      </c>
      <c r="J8" s="5" t="s">
        <v>23</v>
      </c>
      <c r="K8" s="5" t="str">
        <f t="shared" si="1"/>
        <v>✅ Good</v>
      </c>
    </row>
    <row r="9" spans="1:11" ht="19.5" customHeight="1">
      <c r="A9" s="7" t="s">
        <v>32</v>
      </c>
      <c r="B9" s="7" t="s">
        <v>33</v>
      </c>
      <c r="C9" s="7" t="s">
        <v>19</v>
      </c>
      <c r="D9" s="7" t="s">
        <v>15</v>
      </c>
      <c r="E9" s="8">
        <v>0.85</v>
      </c>
      <c r="F9" s="7">
        <v>110</v>
      </c>
      <c r="G9" s="7">
        <v>130</v>
      </c>
      <c r="H9" s="8">
        <f t="shared" si="0"/>
        <v>0.84615384615384615</v>
      </c>
      <c r="I9" s="7">
        <v>4.0999999999999996</v>
      </c>
      <c r="J9" s="7" t="s">
        <v>34</v>
      </c>
      <c r="K9" s="7" t="str">
        <f t="shared" si="1"/>
        <v>⚠️ Average</v>
      </c>
    </row>
    <row r="10" spans="1:11" ht="19.5" customHeight="1">
      <c r="A10" s="5" t="s">
        <v>35</v>
      </c>
      <c r="B10" s="5" t="s">
        <v>36</v>
      </c>
      <c r="C10" s="5" t="s">
        <v>22</v>
      </c>
      <c r="D10" s="5" t="s">
        <v>15</v>
      </c>
      <c r="E10" s="6">
        <v>0.94</v>
      </c>
      <c r="F10" s="5">
        <v>138</v>
      </c>
      <c r="G10" s="5">
        <v>145</v>
      </c>
      <c r="H10" s="6">
        <f t="shared" si="0"/>
        <v>0.9517241379310345</v>
      </c>
      <c r="I10" s="5">
        <v>4.5999999999999996</v>
      </c>
      <c r="J10" s="5" t="s">
        <v>16</v>
      </c>
      <c r="K10" s="5" t="str">
        <f t="shared" si="1"/>
        <v>⭐ Excellent</v>
      </c>
    </row>
    <row r="11" spans="1:11" ht="19.5" customHeight="1">
      <c r="A11" s="7" t="s">
        <v>37</v>
      </c>
      <c r="B11" s="7" t="s">
        <v>38</v>
      </c>
      <c r="C11" s="7" t="s">
        <v>39</v>
      </c>
      <c r="D11" s="7" t="s">
        <v>15</v>
      </c>
      <c r="E11" s="8">
        <v>0.97</v>
      </c>
      <c r="F11" s="7">
        <v>155</v>
      </c>
      <c r="G11" s="7">
        <v>155</v>
      </c>
      <c r="H11" s="8">
        <f t="shared" si="0"/>
        <v>1</v>
      </c>
      <c r="I11" s="7">
        <v>4.9000000000000004</v>
      </c>
      <c r="J11" s="7" t="s">
        <v>16</v>
      </c>
      <c r="K11" s="7" t="str">
        <f t="shared" si="1"/>
        <v>⭐ Excellent</v>
      </c>
    </row>
    <row r="12" spans="1:11" ht="19.5" customHeight="1">
      <c r="A12" s="5" t="s">
        <v>40</v>
      </c>
      <c r="B12" s="5" t="s">
        <v>41</v>
      </c>
      <c r="C12" s="5" t="s">
        <v>30</v>
      </c>
      <c r="D12" s="5" t="s">
        <v>31</v>
      </c>
      <c r="E12" s="6">
        <v>0.82</v>
      </c>
      <c r="F12" s="5">
        <v>100</v>
      </c>
      <c r="G12" s="5">
        <v>130</v>
      </c>
      <c r="H12" s="6">
        <f t="shared" si="0"/>
        <v>0.76923076923076927</v>
      </c>
      <c r="I12" s="5">
        <v>3.9</v>
      </c>
      <c r="J12" s="5" t="s">
        <v>34</v>
      </c>
      <c r="K12" s="5" t="str">
        <f t="shared" si="1"/>
        <v>⚠️ Average</v>
      </c>
    </row>
    <row r="13" spans="1:11" ht="19.5" customHeight="1">
      <c r="A13" s="7" t="s">
        <v>42</v>
      </c>
      <c r="B13" s="7" t="s">
        <v>43</v>
      </c>
      <c r="C13" s="7" t="s">
        <v>44</v>
      </c>
      <c r="D13" s="7" t="s">
        <v>31</v>
      </c>
      <c r="E13" s="8">
        <v>0.91</v>
      </c>
      <c r="F13" s="7">
        <v>120</v>
      </c>
      <c r="G13" s="7">
        <v>125</v>
      </c>
      <c r="H13" s="8">
        <f t="shared" si="0"/>
        <v>0.96</v>
      </c>
      <c r="I13" s="7">
        <v>4.2</v>
      </c>
      <c r="J13" s="7" t="s">
        <v>23</v>
      </c>
      <c r="K13" s="7" t="str">
        <f t="shared" si="1"/>
        <v>⭐ Excellent</v>
      </c>
    </row>
    <row r="14" spans="1:11" ht="19.5" customHeight="1">
      <c r="A14" s="5" t="s">
        <v>45</v>
      </c>
      <c r="B14" s="5" t="s">
        <v>46</v>
      </c>
      <c r="C14" s="5" t="s">
        <v>22</v>
      </c>
      <c r="D14" s="5" t="s">
        <v>15</v>
      </c>
      <c r="E14" s="6">
        <v>0.93</v>
      </c>
      <c r="F14" s="5">
        <v>135</v>
      </c>
      <c r="G14" s="5">
        <v>140</v>
      </c>
      <c r="H14" s="6">
        <f t="shared" si="0"/>
        <v>0.9642857142857143</v>
      </c>
      <c r="I14" s="5">
        <v>4.5</v>
      </c>
      <c r="J14" s="5" t="s">
        <v>16</v>
      </c>
      <c r="K14" s="5" t="str">
        <f t="shared" si="1"/>
        <v>⭐ Excellent</v>
      </c>
    </row>
    <row r="15" spans="1:11" ht="19.5" customHeight="1">
      <c r="A15" s="7" t="s">
        <v>47</v>
      </c>
      <c r="B15" s="7" t="s">
        <v>48</v>
      </c>
      <c r="C15" s="7" t="s">
        <v>19</v>
      </c>
      <c r="D15" s="7" t="s">
        <v>15</v>
      </c>
      <c r="E15" s="8">
        <v>0.87</v>
      </c>
      <c r="F15" s="7">
        <v>115</v>
      </c>
      <c r="G15" s="7">
        <v>135</v>
      </c>
      <c r="H15" s="8">
        <f t="shared" si="0"/>
        <v>0.85185185185185186</v>
      </c>
      <c r="I15" s="7">
        <v>4.2</v>
      </c>
      <c r="J15" s="7" t="s">
        <v>23</v>
      </c>
      <c r="K15" s="7" t="str">
        <f t="shared" si="1"/>
        <v>✅ Good</v>
      </c>
    </row>
    <row r="16" spans="1:11" ht="19.5" customHeight="1">
      <c r="A16" s="5" t="s">
        <v>49</v>
      </c>
      <c r="B16" s="5" t="s">
        <v>50</v>
      </c>
      <c r="C16" s="5" t="s">
        <v>51</v>
      </c>
      <c r="D16" s="5" t="s">
        <v>52</v>
      </c>
      <c r="E16" s="6">
        <v>0.99</v>
      </c>
      <c r="F16" s="5">
        <v>180</v>
      </c>
      <c r="G16" s="5">
        <v>180</v>
      </c>
      <c r="H16" s="6">
        <f t="shared" si="0"/>
        <v>1</v>
      </c>
      <c r="I16" s="5">
        <v>4.7</v>
      </c>
      <c r="J16" s="5" t="s">
        <v>16</v>
      </c>
      <c r="K16" s="5" t="str">
        <f t="shared" si="1"/>
        <v>⭐ Excellent</v>
      </c>
    </row>
    <row r="17" spans="1:11" ht="19.5" customHeight="1">
      <c r="A17" s="7" t="s">
        <v>53</v>
      </c>
      <c r="B17" s="7" t="s">
        <v>54</v>
      </c>
      <c r="C17" s="7" t="s">
        <v>14</v>
      </c>
      <c r="D17" s="7" t="s">
        <v>15</v>
      </c>
      <c r="E17" s="8">
        <v>0.95</v>
      </c>
      <c r="F17" s="7">
        <v>148</v>
      </c>
      <c r="G17" s="7">
        <v>150</v>
      </c>
      <c r="H17" s="8">
        <f t="shared" si="0"/>
        <v>0.98666666666666669</v>
      </c>
      <c r="I17" s="7">
        <v>4.8</v>
      </c>
      <c r="J17" s="7" t="s">
        <v>16</v>
      </c>
      <c r="K17" s="7" t="str">
        <f t="shared" si="1"/>
        <v>⭐ Excellent</v>
      </c>
    </row>
    <row r="18" spans="1:11" ht="19.5" customHeight="1">
      <c r="A18" s="5" t="s">
        <v>55</v>
      </c>
      <c r="B18" s="5" t="s">
        <v>56</v>
      </c>
      <c r="C18" s="5" t="s">
        <v>26</v>
      </c>
      <c r="D18" s="5" t="s">
        <v>27</v>
      </c>
      <c r="E18" s="6">
        <v>0.96</v>
      </c>
      <c r="F18" s="5">
        <v>195</v>
      </c>
      <c r="G18" s="5">
        <v>200</v>
      </c>
      <c r="H18" s="6">
        <f t="shared" si="0"/>
        <v>0.97499999999999998</v>
      </c>
      <c r="I18" s="5">
        <v>4.5999999999999996</v>
      </c>
      <c r="J18" s="5" t="s">
        <v>16</v>
      </c>
      <c r="K18" s="5" t="str">
        <f t="shared" si="1"/>
        <v>⭐ Excellent</v>
      </c>
    </row>
    <row r="19" spans="1:11">
      <c r="A19" s="2" t="s">
        <v>57</v>
      </c>
      <c r="B19" s="2"/>
      <c r="C19" s="2"/>
      <c r="D19" s="2"/>
      <c r="E19" s="10">
        <f>AVERAGE(E4:E18)</f>
        <v>0.92199999999999993</v>
      </c>
      <c r="F19" s="9"/>
      <c r="G19" s="9"/>
      <c r="H19" s="10">
        <f>AVERAGE(H4:H18)</f>
        <v>0.93660132397590123</v>
      </c>
      <c r="I19" s="11">
        <f>AVERAGE(I4:I18)</f>
        <v>4.4800000000000004</v>
      </c>
      <c r="J19" s="9"/>
      <c r="K19" s="9"/>
    </row>
  </sheetData>
  <mergeCells count="2">
    <mergeCell ref="A1:K1"/>
    <mergeCell ref="A19:D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showGridLines="0" tabSelected="1" workbookViewId="0">
      <selection sqref="A1:E1"/>
    </sheetView>
  </sheetViews>
  <sheetFormatPr defaultColWidth="8.7109375" defaultRowHeight="15"/>
  <cols>
    <col min="1" max="1" width="14" customWidth="1"/>
    <col min="2" max="2" width="12" customWidth="1"/>
    <col min="3" max="4" width="14" customWidth="1"/>
    <col min="5" max="5" width="12" customWidth="1"/>
  </cols>
  <sheetData>
    <row r="1" spans="1:5" ht="34.5" customHeight="1">
      <c r="A1" s="1" t="s">
        <v>58</v>
      </c>
      <c r="B1" s="1"/>
      <c r="C1" s="1"/>
      <c r="D1" s="1"/>
      <c r="E1" s="1"/>
    </row>
    <row r="3" spans="1:5">
      <c r="A3" s="12" t="s">
        <v>4</v>
      </c>
      <c r="B3" s="12" t="s">
        <v>59</v>
      </c>
      <c r="C3" s="12" t="s">
        <v>60</v>
      </c>
      <c r="D3" s="12" t="s">
        <v>61</v>
      </c>
      <c r="E3" s="12" t="s">
        <v>62</v>
      </c>
    </row>
    <row r="4" spans="1:5">
      <c r="A4" s="5" t="s">
        <v>15</v>
      </c>
      <c r="B4" s="5">
        <v>8</v>
      </c>
      <c r="C4" s="6">
        <v>0.92</v>
      </c>
      <c r="D4" s="6">
        <v>0.89</v>
      </c>
      <c r="E4" s="5">
        <v>4.5</v>
      </c>
    </row>
    <row r="5" spans="1:5">
      <c r="A5" s="7" t="s">
        <v>31</v>
      </c>
      <c r="B5" s="7">
        <v>3</v>
      </c>
      <c r="C5" s="8">
        <v>0.87</v>
      </c>
      <c r="D5" s="8">
        <v>0.83</v>
      </c>
      <c r="E5" s="7">
        <v>4.2</v>
      </c>
    </row>
    <row r="6" spans="1:5">
      <c r="A6" s="5" t="s">
        <v>27</v>
      </c>
      <c r="B6" s="5">
        <v>2</v>
      </c>
      <c r="C6" s="6">
        <v>0.97</v>
      </c>
      <c r="D6" s="6">
        <v>0.96</v>
      </c>
      <c r="E6" s="5">
        <v>4.7</v>
      </c>
    </row>
    <row r="7" spans="1:5">
      <c r="A7" s="7" t="s">
        <v>52</v>
      </c>
      <c r="B7" s="7">
        <v>1</v>
      </c>
      <c r="C7" s="8">
        <v>0.99</v>
      </c>
      <c r="D7" s="8">
        <v>1</v>
      </c>
      <c r="E7" s="7">
        <v>4.7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showGridLines="0" workbookViewId="0">
      <selection sqref="A1:C1"/>
    </sheetView>
  </sheetViews>
  <sheetFormatPr defaultColWidth="8.7109375" defaultRowHeight="15"/>
  <cols>
    <col min="1" max="2" width="16" customWidth="1"/>
    <col min="3" max="3" width="14" customWidth="1"/>
  </cols>
  <sheetData>
    <row r="1" spans="1:3" ht="34.5" customHeight="1">
      <c r="A1" s="1" t="s">
        <v>63</v>
      </c>
      <c r="B1" s="1"/>
      <c r="C1" s="1"/>
    </row>
    <row r="3" spans="1:3">
      <c r="A3" s="12" t="s">
        <v>2</v>
      </c>
      <c r="B3" s="12" t="s">
        <v>3</v>
      </c>
      <c r="C3" s="12" t="s">
        <v>64</v>
      </c>
    </row>
    <row r="4" spans="1:3">
      <c r="A4" s="13" t="s">
        <v>38</v>
      </c>
      <c r="B4" s="13" t="s">
        <v>39</v>
      </c>
      <c r="C4" s="13" t="s">
        <v>65</v>
      </c>
    </row>
    <row r="5" spans="1:3">
      <c r="A5" s="7" t="s">
        <v>25</v>
      </c>
      <c r="B5" s="7" t="s">
        <v>26</v>
      </c>
      <c r="C5" s="7" t="s">
        <v>65</v>
      </c>
    </row>
    <row r="6" spans="1:3">
      <c r="A6" s="13" t="s">
        <v>56</v>
      </c>
      <c r="B6" s="13" t="s">
        <v>26</v>
      </c>
      <c r="C6" s="13" t="s">
        <v>66</v>
      </c>
    </row>
    <row r="7" spans="1:3">
      <c r="A7" s="7" t="s">
        <v>13</v>
      </c>
      <c r="B7" s="7" t="s">
        <v>14</v>
      </c>
      <c r="C7" s="7" t="s">
        <v>67</v>
      </c>
    </row>
    <row r="8" spans="1:3">
      <c r="A8" s="13" t="s">
        <v>50</v>
      </c>
      <c r="B8" s="13" t="s">
        <v>51</v>
      </c>
      <c r="C8" s="13" t="s">
        <v>65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Performance Report</vt:lpstr>
      <vt:lpstr>Dept Summary</vt:lpstr>
      <vt:lpstr>Star Performers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1</cp:revision>
  <dcterms:created xsi:type="dcterms:W3CDTF">2026-03-18T11:17:56Z</dcterms:created>
  <dcterms:modified xsi:type="dcterms:W3CDTF">2026-03-18T11:22:50Z</dcterms:modified>
  <dc:language>en-US</dc:language>
</cp:coreProperties>
</file>