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1"/>
  </bookViews>
  <sheets>
    <sheet name="Inventory Report" sheetId="1" r:id="rId1"/>
    <sheet name="Category Summary" sheetId="2" r:id="rId2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2"/>
  <c r="E7"/>
  <c r="E6"/>
  <c r="E5"/>
  <c r="E4"/>
  <c r="F18" i="1"/>
  <c r="E18"/>
  <c r="D18"/>
  <c r="I17"/>
  <c r="G17"/>
  <c r="G16"/>
  <c r="I16" s="1"/>
  <c r="I15"/>
  <c r="G15"/>
  <c r="G14"/>
  <c r="I14" s="1"/>
  <c r="I13"/>
  <c r="G13"/>
  <c r="G12"/>
  <c r="I12" s="1"/>
  <c r="I11"/>
  <c r="G11"/>
  <c r="G10"/>
  <c r="I10" s="1"/>
  <c r="I9"/>
  <c r="G9"/>
  <c r="G8"/>
  <c r="I8" s="1"/>
  <c r="I7"/>
  <c r="G7"/>
  <c r="G6"/>
  <c r="I6" s="1"/>
  <c r="I5"/>
  <c r="G5"/>
  <c r="G4"/>
  <c r="I4" s="1"/>
  <c r="G18" l="1"/>
</calcChain>
</file>

<file path=xl/sharedStrings.xml><?xml version="1.0" encoding="utf-8"?>
<sst xmlns="http://schemas.openxmlformats.org/spreadsheetml/2006/main" count="65" uniqueCount="48">
  <si>
    <t>🍽️ Anjappar Chettinad Restaurant — Plate &amp; Bowl Inventory Report</t>
  </si>
  <si>
    <t>Report Date: December 2024  |  Location: Tamil Nadu Branches  |  Manager: Sheshan Pandiyan</t>
  </si>
  <si>
    <t>Item Code</t>
  </si>
  <si>
    <t>Item Name</t>
  </si>
  <si>
    <t>Category</t>
  </si>
  <si>
    <t>Opening Stock</t>
  </si>
  <si>
    <t>Received</t>
  </si>
  <si>
    <t>Issued</t>
  </si>
  <si>
    <t>Closing Stock</t>
  </si>
  <si>
    <t>Min Stock</t>
  </si>
  <si>
    <t>Status</t>
  </si>
  <si>
    <t>PLT-001</t>
  </si>
  <si>
    <t>Banana Leaf Plate</t>
  </si>
  <si>
    <t>Plates</t>
  </si>
  <si>
    <t>PLT-002</t>
  </si>
  <si>
    <t>Steel Dinner Plate</t>
  </si>
  <si>
    <t>PLT-003</t>
  </si>
  <si>
    <t>Quarter Plate (Steel)</t>
  </si>
  <si>
    <t>PLT-004</t>
  </si>
  <si>
    <t>Melamine Plate</t>
  </si>
  <si>
    <t>BWL-001</t>
  </si>
  <si>
    <t>Steel Curry Bowl</t>
  </si>
  <si>
    <t>Bowls</t>
  </si>
  <si>
    <t>BWL-002</t>
  </si>
  <si>
    <t>Sambar Bowl (Small)</t>
  </si>
  <si>
    <t>BWL-003</t>
  </si>
  <si>
    <t>Rasam Bowl</t>
  </si>
  <si>
    <t>BWL-004</t>
  </si>
  <si>
    <t>Chutney Bowl</t>
  </si>
  <si>
    <t>CUP-001</t>
  </si>
  <si>
    <t>Steel Tumbler</t>
  </si>
  <si>
    <t>Cups</t>
  </si>
  <si>
    <t>CUP-002</t>
  </si>
  <si>
    <t>Coffee Tumbler</t>
  </si>
  <si>
    <t>SPR-001</t>
  </si>
  <si>
    <t>Steel Spoon (Large)</t>
  </si>
  <si>
    <t>Spoons</t>
  </si>
  <si>
    <t>SPR-002</t>
  </si>
  <si>
    <t>Steel Spoon (Small)</t>
  </si>
  <si>
    <t>TRY-001</t>
  </si>
  <si>
    <t>Steel Serving Tray</t>
  </si>
  <si>
    <t>Trays</t>
  </si>
  <si>
    <t>TRY-002</t>
  </si>
  <si>
    <t>Plastic Serving Tray</t>
  </si>
  <si>
    <t>TOTAL ITEMS</t>
  </si>
  <si>
    <t>📊 Inventory by Category</t>
  </si>
  <si>
    <t>Items Count</t>
  </si>
  <si>
    <t>Usage %</t>
  </si>
</sst>
</file>

<file path=xl/styles.xml><?xml version="1.0" encoding="utf-8"?>
<styleSheet xmlns="http://schemas.openxmlformats.org/spreadsheetml/2006/main">
  <numFmts count="1">
    <numFmt numFmtId="164" formatCode="0.0%"/>
  </numFmts>
  <fonts count="7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7B2D00"/>
        <bgColor rgb="FF800000"/>
      </patternFill>
    </fill>
    <fill>
      <patternFill patternType="solid">
        <fgColor rgb="FFA0522D"/>
        <bgColor rgb="FFC0504D"/>
      </patternFill>
    </fill>
    <fill>
      <patternFill patternType="solid">
        <fgColor rgb="FFFFF0E0"/>
        <bgColor rgb="FFFFF2CC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FF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2" borderId="0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66666"/>
      <rgbColor rgb="FF9999FF"/>
      <rgbColor rgb="FFA0522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0E0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7B2D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Stock Usage by Category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'Category Summary'!$E$3</c:f>
              <c:strCache>
                <c:ptCount val="1"/>
                <c:pt idx="0">
                  <c:v>Usage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cat>
            <c:strRef>
              <c:f>'Category Summary'!$A$4:$A$8</c:f>
              <c:strCache>
                <c:ptCount val="5"/>
                <c:pt idx="0">
                  <c:v>Plates</c:v>
                </c:pt>
                <c:pt idx="1">
                  <c:v>Bowls</c:v>
                </c:pt>
                <c:pt idx="2">
                  <c:v>Cups</c:v>
                </c:pt>
                <c:pt idx="3">
                  <c:v>Spoons</c:v>
                </c:pt>
                <c:pt idx="4">
                  <c:v>Trays</c:v>
                </c:pt>
              </c:strCache>
            </c:strRef>
          </c:cat>
          <c:val>
            <c:numRef>
              <c:f>'Category Summary'!$E$4:$E$8</c:f>
              <c:numCache>
                <c:formatCode>0.0%</c:formatCode>
                <c:ptCount val="5"/>
                <c:pt idx="0">
                  <c:v>0.35526315789473684</c:v>
                </c:pt>
                <c:pt idx="1">
                  <c:v>0.62820512820512819</c:v>
                </c:pt>
                <c:pt idx="2">
                  <c:v>0.8</c:v>
                </c:pt>
                <c:pt idx="3">
                  <c:v>0.5714285714285714</c:v>
                </c:pt>
                <c:pt idx="4">
                  <c:v>0.5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147600</xdr:colOff>
      <xdr:row>20</xdr:row>
      <xdr:rowOff>170640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showGridLines="0" workbookViewId="0">
      <selection activeCell="G7" sqref="G7"/>
    </sheetView>
  </sheetViews>
  <sheetFormatPr defaultColWidth="8.7109375" defaultRowHeight="15"/>
  <cols>
    <col min="1" max="1" width="10.28515625" bestFit="1" customWidth="1"/>
    <col min="2" max="2" width="18.7109375" bestFit="1" customWidth="1"/>
    <col min="3" max="3" width="9.140625" bestFit="1" customWidth="1"/>
    <col min="4" max="4" width="14.42578125" bestFit="1" customWidth="1"/>
    <col min="5" max="5" width="9.42578125" bestFit="1" customWidth="1"/>
    <col min="6" max="6" width="6.7109375" bestFit="1" customWidth="1"/>
    <col min="7" max="7" width="13.42578125" bestFit="1" customWidth="1"/>
    <col min="8" max="8" width="9.85546875" bestFit="1" customWidth="1"/>
    <col min="9" max="9" width="6.5703125" bestFit="1" customWidth="1"/>
  </cols>
  <sheetData>
    <row r="1" spans="1:9" ht="37.5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spans="1:9" ht="19.5" customHeight="1">
      <c r="A4" s="6" t="s">
        <v>11</v>
      </c>
      <c r="B4" s="6" t="s">
        <v>12</v>
      </c>
      <c r="C4" s="6" t="s">
        <v>13</v>
      </c>
      <c r="D4" s="6">
        <v>500</v>
      </c>
      <c r="E4" s="6">
        <v>1000</v>
      </c>
      <c r="F4" s="6">
        <v>1200</v>
      </c>
      <c r="G4" s="6">
        <f t="shared" ref="G4:G17" si="0">D4+E4-F4</f>
        <v>300</v>
      </c>
      <c r="H4" s="6">
        <v>200</v>
      </c>
      <c r="I4" s="6" t="str">
        <f t="shared" ref="I4:I17" si="1">IF(G4&lt;H4,"⚠️ Reorder NOW","✅ OK")</f>
        <v>✅ OK</v>
      </c>
    </row>
    <row r="5" spans="1:9" ht="19.5" customHeight="1">
      <c r="A5" s="7" t="s">
        <v>14</v>
      </c>
      <c r="B5" s="7" t="s">
        <v>15</v>
      </c>
      <c r="C5" s="7" t="s">
        <v>13</v>
      </c>
      <c r="D5" s="7">
        <v>120</v>
      </c>
      <c r="E5" s="7">
        <v>50</v>
      </c>
      <c r="F5" s="7">
        <v>80</v>
      </c>
      <c r="G5" s="7">
        <f t="shared" si="0"/>
        <v>90</v>
      </c>
      <c r="H5" s="7">
        <v>30</v>
      </c>
      <c r="I5" s="7" t="str">
        <f t="shared" si="1"/>
        <v>✅ OK</v>
      </c>
    </row>
    <row r="6" spans="1:9" ht="19.5" customHeight="1">
      <c r="A6" s="6" t="s">
        <v>16</v>
      </c>
      <c r="B6" s="6" t="s">
        <v>17</v>
      </c>
      <c r="C6" s="6" t="s">
        <v>13</v>
      </c>
      <c r="D6" s="6">
        <v>80</v>
      </c>
      <c r="E6" s="6">
        <v>40</v>
      </c>
      <c r="F6" s="6">
        <v>60</v>
      </c>
      <c r="G6" s="6">
        <f t="shared" si="0"/>
        <v>60</v>
      </c>
      <c r="H6" s="6">
        <v>20</v>
      </c>
      <c r="I6" s="6" t="str">
        <f t="shared" si="1"/>
        <v>✅ OK</v>
      </c>
    </row>
    <row r="7" spans="1:9" ht="19.5" customHeight="1">
      <c r="A7" s="7" t="s">
        <v>18</v>
      </c>
      <c r="B7" s="7" t="s">
        <v>19</v>
      </c>
      <c r="C7" s="7" t="s">
        <v>13</v>
      </c>
      <c r="D7" s="7">
        <v>60</v>
      </c>
      <c r="E7" s="7">
        <v>20</v>
      </c>
      <c r="F7" s="7">
        <v>35</v>
      </c>
      <c r="G7" s="7">
        <f t="shared" si="0"/>
        <v>45</v>
      </c>
      <c r="H7" s="7">
        <v>15</v>
      </c>
      <c r="I7" s="7" t="str">
        <f t="shared" si="1"/>
        <v>✅ OK</v>
      </c>
    </row>
    <row r="8" spans="1:9" ht="19.5" customHeight="1">
      <c r="A8" s="6" t="s">
        <v>20</v>
      </c>
      <c r="B8" s="6" t="s">
        <v>21</v>
      </c>
      <c r="C8" s="6" t="s">
        <v>22</v>
      </c>
      <c r="D8" s="6">
        <v>200</v>
      </c>
      <c r="E8" s="6">
        <v>100</v>
      </c>
      <c r="F8" s="6">
        <v>180</v>
      </c>
      <c r="G8" s="6">
        <f t="shared" si="0"/>
        <v>120</v>
      </c>
      <c r="H8" s="6">
        <v>50</v>
      </c>
      <c r="I8" s="6" t="str">
        <f t="shared" si="1"/>
        <v>✅ OK</v>
      </c>
    </row>
    <row r="9" spans="1:9" ht="19.5" customHeight="1">
      <c r="A9" s="7" t="s">
        <v>23</v>
      </c>
      <c r="B9" s="7" t="s">
        <v>24</v>
      </c>
      <c r="C9" s="7" t="s">
        <v>22</v>
      </c>
      <c r="D9" s="7">
        <v>180</v>
      </c>
      <c r="E9" s="7">
        <v>80</v>
      </c>
      <c r="F9" s="7">
        <v>150</v>
      </c>
      <c r="G9" s="7">
        <f t="shared" si="0"/>
        <v>110</v>
      </c>
      <c r="H9" s="7">
        <v>40</v>
      </c>
      <c r="I9" s="7" t="str">
        <f t="shared" si="1"/>
        <v>✅ OK</v>
      </c>
    </row>
    <row r="10" spans="1:9" ht="19.5" customHeight="1">
      <c r="A10" s="6" t="s">
        <v>25</v>
      </c>
      <c r="B10" s="6" t="s">
        <v>26</v>
      </c>
      <c r="C10" s="6" t="s">
        <v>22</v>
      </c>
      <c r="D10" s="6">
        <v>160</v>
      </c>
      <c r="E10" s="6">
        <v>70</v>
      </c>
      <c r="F10" s="6">
        <v>130</v>
      </c>
      <c r="G10" s="6">
        <f t="shared" si="0"/>
        <v>100</v>
      </c>
      <c r="H10" s="6">
        <v>40</v>
      </c>
      <c r="I10" s="6" t="str">
        <f t="shared" si="1"/>
        <v>✅ OK</v>
      </c>
    </row>
    <row r="11" spans="1:9" ht="19.5" customHeight="1">
      <c r="A11" s="7" t="s">
        <v>27</v>
      </c>
      <c r="B11" s="7" t="s">
        <v>28</v>
      </c>
      <c r="C11" s="7" t="s">
        <v>22</v>
      </c>
      <c r="D11" s="7">
        <v>240</v>
      </c>
      <c r="E11" s="7">
        <v>100</v>
      </c>
      <c r="F11" s="7">
        <v>200</v>
      </c>
      <c r="G11" s="7">
        <f t="shared" si="0"/>
        <v>140</v>
      </c>
      <c r="H11" s="7">
        <v>60</v>
      </c>
      <c r="I11" s="7" t="str">
        <f t="shared" si="1"/>
        <v>✅ OK</v>
      </c>
    </row>
    <row r="12" spans="1:9" ht="19.5" customHeight="1">
      <c r="A12" s="6" t="s">
        <v>29</v>
      </c>
      <c r="B12" s="6" t="s">
        <v>30</v>
      </c>
      <c r="C12" s="6" t="s">
        <v>31</v>
      </c>
      <c r="D12" s="6">
        <v>300</v>
      </c>
      <c r="E12" s="6">
        <v>150</v>
      </c>
      <c r="F12" s="6">
        <v>280</v>
      </c>
      <c r="G12" s="6">
        <f t="shared" si="0"/>
        <v>170</v>
      </c>
      <c r="H12" s="6">
        <v>75</v>
      </c>
      <c r="I12" s="6" t="str">
        <f t="shared" si="1"/>
        <v>✅ OK</v>
      </c>
    </row>
    <row r="13" spans="1:9" ht="19.5" customHeight="1">
      <c r="A13" s="7" t="s">
        <v>32</v>
      </c>
      <c r="B13" s="7" t="s">
        <v>33</v>
      </c>
      <c r="C13" s="7" t="s">
        <v>31</v>
      </c>
      <c r="D13" s="7">
        <v>100</v>
      </c>
      <c r="E13" s="7">
        <v>50</v>
      </c>
      <c r="F13" s="7">
        <v>90</v>
      </c>
      <c r="G13" s="7">
        <f t="shared" si="0"/>
        <v>60</v>
      </c>
      <c r="H13" s="7">
        <v>25</v>
      </c>
      <c r="I13" s="7" t="str">
        <f t="shared" si="1"/>
        <v>✅ OK</v>
      </c>
    </row>
    <row r="14" spans="1:9" ht="19.5" customHeight="1">
      <c r="A14" s="6" t="s">
        <v>34</v>
      </c>
      <c r="B14" s="6" t="s">
        <v>35</v>
      </c>
      <c r="C14" s="6" t="s">
        <v>36</v>
      </c>
      <c r="D14" s="6">
        <v>150</v>
      </c>
      <c r="E14" s="6">
        <v>80</v>
      </c>
      <c r="F14" s="6">
        <v>120</v>
      </c>
      <c r="G14" s="6">
        <f t="shared" si="0"/>
        <v>110</v>
      </c>
      <c r="H14" s="6">
        <v>40</v>
      </c>
      <c r="I14" s="6" t="str">
        <f t="shared" si="1"/>
        <v>✅ OK</v>
      </c>
    </row>
    <row r="15" spans="1:9" ht="19.5" customHeight="1">
      <c r="A15" s="7" t="s">
        <v>37</v>
      </c>
      <c r="B15" s="7" t="s">
        <v>38</v>
      </c>
      <c r="C15" s="7" t="s">
        <v>36</v>
      </c>
      <c r="D15" s="7">
        <v>200</v>
      </c>
      <c r="E15" s="7">
        <v>100</v>
      </c>
      <c r="F15" s="7">
        <v>180</v>
      </c>
      <c r="G15" s="7">
        <f t="shared" si="0"/>
        <v>120</v>
      </c>
      <c r="H15" s="7">
        <v>50</v>
      </c>
      <c r="I15" s="7" t="str">
        <f t="shared" si="1"/>
        <v>✅ OK</v>
      </c>
    </row>
    <row r="16" spans="1:9" ht="19.5" customHeight="1">
      <c r="A16" s="6" t="s">
        <v>39</v>
      </c>
      <c r="B16" s="6" t="s">
        <v>40</v>
      </c>
      <c r="C16" s="6" t="s">
        <v>41</v>
      </c>
      <c r="D16" s="6">
        <v>40</v>
      </c>
      <c r="E16" s="6">
        <v>10</v>
      </c>
      <c r="F16" s="6">
        <v>15</v>
      </c>
      <c r="G16" s="6">
        <f t="shared" si="0"/>
        <v>35</v>
      </c>
      <c r="H16" s="6">
        <v>10</v>
      </c>
      <c r="I16" s="6" t="str">
        <f t="shared" si="1"/>
        <v>✅ OK</v>
      </c>
    </row>
    <row r="17" spans="1:9" ht="19.5" customHeight="1">
      <c r="A17" s="7" t="s">
        <v>42</v>
      </c>
      <c r="B17" s="7" t="s">
        <v>43</v>
      </c>
      <c r="C17" s="7" t="s">
        <v>41</v>
      </c>
      <c r="D17" s="7">
        <v>30</v>
      </c>
      <c r="E17" s="7">
        <v>15</v>
      </c>
      <c r="F17" s="7">
        <v>20</v>
      </c>
      <c r="G17" s="7">
        <f t="shared" si="0"/>
        <v>25</v>
      </c>
      <c r="H17" s="7">
        <v>8</v>
      </c>
      <c r="I17" s="7" t="str">
        <f t="shared" si="1"/>
        <v>✅ OK</v>
      </c>
    </row>
    <row r="18" spans="1:9">
      <c r="A18" s="2" t="s">
        <v>44</v>
      </c>
      <c r="B18" s="2"/>
      <c r="C18" s="2"/>
      <c r="D18" s="8">
        <f>SUM(D4:D17)</f>
        <v>2360</v>
      </c>
      <c r="E18" s="8">
        <f>SUM(E4:E17)</f>
        <v>1865</v>
      </c>
      <c r="F18" s="8">
        <f>SUM(F4:F17)</f>
        <v>2740</v>
      </c>
      <c r="G18" s="8">
        <f>SUM(G4:G17)</f>
        <v>1485</v>
      </c>
      <c r="H18" s="8"/>
      <c r="I18" s="8"/>
    </row>
  </sheetData>
  <mergeCells count="3">
    <mergeCell ref="A1:I1"/>
    <mergeCell ref="A2:I2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showGridLines="0" tabSelected="1" workbookViewId="0">
      <selection activeCell="C15" sqref="C15"/>
    </sheetView>
  </sheetViews>
  <sheetFormatPr defaultColWidth="8.7109375" defaultRowHeight="15"/>
  <cols>
    <col min="1" max="1" width="9.140625" bestFit="1" customWidth="1"/>
    <col min="2" max="2" width="11.7109375" bestFit="1" customWidth="1"/>
    <col min="3" max="3" width="14.42578125" bestFit="1" customWidth="1"/>
    <col min="4" max="4" width="13.42578125" bestFit="1" customWidth="1"/>
    <col min="5" max="5" width="8.5703125" bestFit="1" customWidth="1"/>
  </cols>
  <sheetData>
    <row r="1" spans="1:5" ht="34.5" customHeight="1">
      <c r="A1" s="1" t="s">
        <v>45</v>
      </c>
      <c r="B1" s="1"/>
      <c r="C1" s="1"/>
      <c r="D1" s="1"/>
      <c r="E1" s="1"/>
    </row>
    <row r="3" spans="1:5">
      <c r="A3" s="5" t="s">
        <v>4</v>
      </c>
      <c r="B3" s="5" t="s">
        <v>46</v>
      </c>
      <c r="C3" s="5" t="s">
        <v>5</v>
      </c>
      <c r="D3" s="5" t="s">
        <v>8</v>
      </c>
      <c r="E3" s="5" t="s">
        <v>47</v>
      </c>
    </row>
    <row r="4" spans="1:5">
      <c r="A4" s="6" t="s">
        <v>13</v>
      </c>
      <c r="B4" s="6">
        <v>4</v>
      </c>
      <c r="C4" s="6">
        <v>760</v>
      </c>
      <c r="D4" s="6">
        <v>490</v>
      </c>
      <c r="E4" s="9">
        <f>(C4-D4)/C4</f>
        <v>0.35526315789473684</v>
      </c>
    </row>
    <row r="5" spans="1:5">
      <c r="A5" s="7" t="s">
        <v>22</v>
      </c>
      <c r="B5" s="7">
        <v>4</v>
      </c>
      <c r="C5" s="7">
        <v>780</v>
      </c>
      <c r="D5" s="7">
        <v>290</v>
      </c>
      <c r="E5" s="10">
        <f>(C5-D5)/C5</f>
        <v>0.62820512820512819</v>
      </c>
    </row>
    <row r="6" spans="1:5">
      <c r="A6" s="6" t="s">
        <v>31</v>
      </c>
      <c r="B6" s="6">
        <v>2</v>
      </c>
      <c r="C6" s="6">
        <v>400</v>
      </c>
      <c r="D6" s="6">
        <v>80</v>
      </c>
      <c r="E6" s="9">
        <f>(C6-D6)/C6</f>
        <v>0.8</v>
      </c>
    </row>
    <row r="7" spans="1:5">
      <c r="A7" s="7" t="s">
        <v>36</v>
      </c>
      <c r="B7" s="7">
        <v>2</v>
      </c>
      <c r="C7" s="7">
        <v>350</v>
      </c>
      <c r="D7" s="7">
        <v>150</v>
      </c>
      <c r="E7" s="10">
        <f>(C7-D7)/C7</f>
        <v>0.5714285714285714</v>
      </c>
    </row>
    <row r="8" spans="1:5">
      <c r="A8" s="6" t="s">
        <v>41</v>
      </c>
      <c r="B8" s="6">
        <v>2</v>
      </c>
      <c r="C8" s="6">
        <v>70</v>
      </c>
      <c r="D8" s="6">
        <v>35</v>
      </c>
      <c r="E8" s="9">
        <f>(C8-D8)/C8</f>
        <v>0.5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Report</vt:lpstr>
      <vt:lpstr>Category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2026-03-18T11:17:56Z</dcterms:created>
  <dcterms:modified xsi:type="dcterms:W3CDTF">2026-03-18T11:24:20Z</dcterms:modified>
  <dc:language>en-US</dc:language>
</cp:coreProperties>
</file>